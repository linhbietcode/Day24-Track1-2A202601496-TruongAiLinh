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24360" tabRatio="500" firstSheet="0" activeTab="0" autoFilterDateGrouping="1"/>
  </bookViews>
  <sheets>
    <sheet xmlns:r="http://schemas.openxmlformats.org/officeDocument/2006/relationships" name="1. Assumptions" sheetId="1" state="visible" r:id="rId1"/>
    <sheet xmlns:r="http://schemas.openxmlformats.org/officeDocument/2006/relationships" name="2. Unit Economics" sheetId="2" state="visible" r:id="rId2"/>
    <sheet xmlns:r="http://schemas.openxmlformats.org/officeDocument/2006/relationships" name="3. P&amp;L &amp; ROI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;\(#,##0\);\-"/>
    <numFmt numFmtId="165" formatCode="0.0%;\(0.0%\);\-"/>
    <numFmt numFmtId="166" formatCode="0.0&quot; tháng&quot;"/>
    <numFmt numFmtId="167" formatCode="0.00\x"/>
    <numFmt numFmtId="168" formatCode="0.00%;\(0.00%\);\-"/>
  </numFmts>
  <fonts count="41">
    <font>
      <name val="Calibri"/>
      <charset val="1"/>
      <color theme="1"/>
      <sz val="11"/>
    </font>
    <font>
      <name val="Arial"/>
      <charset val="1"/>
      <b val="1"/>
      <color rgb="FFFFFFFF"/>
      <sz val="16"/>
    </font>
    <font>
      <name val="Arial"/>
      <charset val="1"/>
      <b val="1"/>
      <color rgb="FF0F3460"/>
      <sz val="11"/>
    </font>
    <font>
      <name val="Arial"/>
      <charset val="1"/>
      <b val="1"/>
      <color rgb="FF0000FF"/>
      <sz val="11"/>
    </font>
    <font>
      <name val="Arial"/>
      <charset val="1"/>
      <i val="1"/>
      <color rgb="FF64748B"/>
      <sz val="9"/>
    </font>
    <font>
      <name val="Arial"/>
      <charset val="1"/>
      <b val="1"/>
      <i val="1"/>
      <color rgb="FF0F3460"/>
      <sz val="9"/>
    </font>
    <font>
      <name val="Arial"/>
      <charset val="1"/>
      <i val="1"/>
      <color rgb="FF008000"/>
      <sz val="9"/>
    </font>
    <font>
      <name val="Arial"/>
      <charset val="1"/>
      <b val="1"/>
      <color rgb="FFFFFFFF"/>
      <sz val="11"/>
    </font>
    <font>
      <name val="Arial"/>
      <charset val="1"/>
      <b val="1"/>
      <sz val="10"/>
    </font>
    <font>
      <name val="Arial"/>
      <charset val="1"/>
      <b val="1"/>
      <sz val="9"/>
    </font>
    <font>
      <name val="Arial"/>
      <charset val="1"/>
      <color rgb="FF000000"/>
      <sz val="10"/>
    </font>
    <font>
      <name val="Arial"/>
      <charset val="1"/>
      <sz val="9"/>
    </font>
    <font>
      <name val="Arial"/>
      <charset val="1"/>
      <b val="1"/>
      <color rgb="FF000000"/>
      <sz val="10"/>
    </font>
    <font>
      <name val="Arial"/>
      <charset val="1"/>
      <b val="1"/>
      <color rgb="FF000000"/>
      <sz val="11"/>
    </font>
    <font>
      <name val="Arial"/>
      <charset val="1"/>
      <b val="1"/>
      <sz val="11"/>
    </font>
    <font>
      <name val="Arial"/>
      <charset val="1"/>
      <i val="1"/>
      <color rgb="FF94A3B8"/>
      <sz val="8"/>
    </font>
    <font>
      <name val="Arial"/>
      <charset val="1"/>
      <b val="1"/>
      <sz val="12"/>
    </font>
    <font>
      <name val="Arial"/>
      <charset val="1"/>
      <color rgb="FF008000"/>
      <sz val="10"/>
    </font>
    <font>
      <name val="Arial"/>
      <charset val="1"/>
      <b val="1"/>
      <color rgb="FF0000FF"/>
      <sz val="10"/>
    </font>
    <font>
      <name val="Arial"/>
      <charset val="1"/>
      <i val="1"/>
      <color rgb="FF0000FF"/>
      <sz val="10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FFFF00"/>
        <bgColor rgb="FFFFFF00"/>
      </patternFill>
    </fill>
    <fill>
      <patternFill patternType="solid">
        <fgColor rgb="FF0F3460"/>
        <bgColor rgb="FF1A1A2E"/>
      </patternFill>
    </fill>
    <fill>
      <patternFill patternType="solid">
        <fgColor rgb="FFF1F5F9"/>
        <bgColor rgb="FFFFFFFF"/>
      </patternFill>
    </fill>
    <fill>
      <patternFill patternType="solid">
        <fgColor rgb="FFDCFCE7"/>
        <bgColor rgb="FFCCFFCC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64748B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</borders>
  <cellStyleXfs count="49">
    <xf numFmtId="0" fontId="0" fillId="0" borderId="0"/>
    <xf numFmtId="43" fontId="20" fillId="0" borderId="0"/>
    <xf numFmtId="44" fontId="20" fillId="0" borderId="0"/>
    <xf numFmtId="9" fontId="20" fillId="0" borderId="0"/>
    <xf numFmtId="41" fontId="20" fillId="0" borderId="0"/>
    <xf numFmtId="42" fontId="20" fillId="0" borderId="0"/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9" borderId="4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5" applyAlignment="1">
      <alignment vertical="center"/>
    </xf>
    <xf numFmtId="0" fontId="28" fillId="0" borderId="5" applyAlignment="1">
      <alignment vertical="center"/>
    </xf>
    <xf numFmtId="0" fontId="29" fillId="0" borderId="6" applyAlignment="1">
      <alignment vertical="center"/>
    </xf>
    <xf numFmtId="0" fontId="29" fillId="0" borderId="0" applyAlignment="1">
      <alignment vertical="center"/>
    </xf>
    <xf numFmtId="0" fontId="30" fillId="10" borderId="7" applyAlignment="1">
      <alignment vertical="center"/>
    </xf>
    <xf numFmtId="0" fontId="31" fillId="11" borderId="8" applyAlignment="1">
      <alignment vertical="center"/>
    </xf>
    <xf numFmtId="0" fontId="32" fillId="11" borderId="7" applyAlignment="1">
      <alignment vertical="center"/>
    </xf>
    <xf numFmtId="0" fontId="33" fillId="12" borderId="9" applyAlignment="1">
      <alignment vertical="center"/>
    </xf>
    <xf numFmtId="0" fontId="34" fillId="0" borderId="10" applyAlignment="1">
      <alignment vertical="center"/>
    </xf>
    <xf numFmtId="0" fontId="35" fillId="0" borderId="11" applyAlignment="1">
      <alignment vertical="center"/>
    </xf>
    <xf numFmtId="0" fontId="36" fillId="13" borderId="0" applyAlignment="1">
      <alignment vertical="center"/>
    </xf>
    <xf numFmtId="0" fontId="37" fillId="14" borderId="0" applyAlignment="1">
      <alignment vertical="center"/>
    </xf>
    <xf numFmtId="0" fontId="38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40" fillId="37" borderId="0" applyAlignment="1">
      <alignment vertical="center"/>
    </xf>
    <xf numFmtId="0" fontId="40" fillId="38" borderId="0" applyAlignment="1">
      <alignment vertical="center"/>
    </xf>
    <xf numFmtId="0" fontId="39" fillId="39" borderId="0" applyAlignment="1">
      <alignment vertical="center"/>
    </xf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left" vertical="center" indent="1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 indent="1"/>
    </xf>
    <xf numFmtId="0" fontId="8" fillId="5" borderId="0" pivotButton="0" quotePrefix="0" xfId="0"/>
    <xf numFmtId="0" fontId="9" fillId="5" borderId="0" applyAlignment="1" pivotButton="0" quotePrefix="0" xfId="0">
      <alignment horizontal="center"/>
    </xf>
    <xf numFmtId="0" fontId="10" fillId="0" borderId="0" applyAlignment="1" pivotButton="0" quotePrefix="0" xfId="0">
      <alignment horizontal="left" vertical="center" indent="1"/>
    </xf>
    <xf numFmtId="164" fontId="11" fillId="0" borderId="0" applyAlignment="1" pivotButton="0" quotePrefix="0" xfId="0">
      <alignment horizontal="right"/>
    </xf>
    <xf numFmtId="0" fontId="12" fillId="6" borderId="0" applyAlignment="1" pivotButton="0" quotePrefix="0" xfId="0">
      <alignment horizontal="left" vertical="center"/>
    </xf>
    <xf numFmtId="164" fontId="9" fillId="6" borderId="0" applyAlignment="1" pivotButton="0" quotePrefix="0" xfId="0">
      <alignment horizontal="right"/>
    </xf>
    <xf numFmtId="0" fontId="12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/>
    </xf>
    <xf numFmtId="0" fontId="12" fillId="5" borderId="0" applyAlignment="1" pivotButton="0" quotePrefix="0" xfId="0">
      <alignment horizontal="left" vertical="center"/>
    </xf>
    <xf numFmtId="164" fontId="9" fillId="5" borderId="0" applyAlignment="1" pivotButton="0" quotePrefix="0" xfId="0">
      <alignment horizontal="right"/>
    </xf>
    <xf numFmtId="0" fontId="12" fillId="7" borderId="0" applyAlignment="1" pivotButton="0" quotePrefix="0" xfId="0">
      <alignment horizontal="left" vertical="center"/>
    </xf>
    <xf numFmtId="164" fontId="9" fillId="7" borderId="0" applyAlignment="1" pivotButton="0" quotePrefix="0" xfId="0">
      <alignment horizontal="right"/>
    </xf>
    <xf numFmtId="164" fontId="13" fillId="0" borderId="0" applyAlignment="1" pivotButton="0" quotePrefix="0" xfId="0">
      <alignment horizontal="right"/>
    </xf>
    <xf numFmtId="165" fontId="14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5" fillId="0" borderId="0" pivotButton="0" quotePrefix="0" xfId="0"/>
    <xf numFmtId="164" fontId="15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/>
    </xf>
    <xf numFmtId="164" fontId="8" fillId="0" borderId="0" pivotButton="0" quotePrefix="0" xfId="0"/>
    <xf numFmtId="164" fontId="8" fillId="6" borderId="0" pivotButton="0" quotePrefix="0" xfId="0"/>
    <xf numFmtId="164" fontId="8" fillId="5" borderId="0" pivotButton="0" quotePrefix="0" xfId="0"/>
    <xf numFmtId="0" fontId="12" fillId="6" borderId="0" applyAlignment="1" pivotButton="0" quotePrefix="0" xfId="0">
      <alignment horizontal="center"/>
    </xf>
    <xf numFmtId="0" fontId="12" fillId="5" borderId="0" applyAlignment="1" pivotButton="0" quotePrefix="0" xfId="0">
      <alignment horizontal="center"/>
    </xf>
    <xf numFmtId="164" fontId="17" fillId="0" borderId="0" applyAlignment="1" pivotButton="0" quotePrefix="0" xfId="0">
      <alignment horizontal="right" vertical="center"/>
    </xf>
    <xf numFmtId="164" fontId="12" fillId="5" borderId="0" applyAlignment="1" pivotButton="0" quotePrefix="0" xfId="0">
      <alignment horizontal="right" vertical="center"/>
    </xf>
    <xf numFmtId="165" fontId="12" fillId="5" borderId="0" applyAlignment="1" pivotButton="0" quotePrefix="0" xfId="0">
      <alignment horizontal="right" vertical="center"/>
    </xf>
    <xf numFmtId="166" fontId="17" fillId="0" borderId="0" applyAlignment="1" pivotButton="0" quotePrefix="0" xfId="0">
      <alignment horizontal="right" vertical="center"/>
    </xf>
    <xf numFmtId="167" fontId="12" fillId="5" borderId="0" applyAlignment="1" pivotButton="0" quotePrefix="0" xfId="0">
      <alignment horizontal="right" vertical="center"/>
    </xf>
    <xf numFmtId="166" fontId="12" fillId="5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164" fontId="18" fillId="3" borderId="1" applyAlignment="1" pivotButton="0" quotePrefix="0" xfId="0">
      <alignment horizontal="right" vertical="center"/>
    </xf>
    <xf numFmtId="168" fontId="18" fillId="3" borderId="1" applyAlignment="1" pivotButton="0" quotePrefix="0" xfId="0">
      <alignment horizontal="right" vertical="center"/>
    </xf>
    <xf numFmtId="0" fontId="12" fillId="5" borderId="2" applyAlignment="1" pivotButton="0" quotePrefix="0" xfId="0">
      <alignment horizontal="left" vertical="center"/>
    </xf>
    <xf numFmtId="164" fontId="12" fillId="5" borderId="2" applyAlignment="1" pivotButton="0" quotePrefix="0" xfId="0">
      <alignment horizontal="right" vertical="center"/>
    </xf>
    <xf numFmtId="165" fontId="18" fillId="3" borderId="1" applyAlignment="1" pivotButton="0" quotePrefix="0" xfId="0">
      <alignment horizontal="right" vertical="center"/>
    </xf>
    <xf numFmtId="0" fontId="19" fillId="3" borderId="3" applyAlignment="1" pivotButton="0" quotePrefix="0" xfId="0">
      <alignment horizontal="left" vertical="top" wrapText="1" indent="1"/>
    </xf>
    <xf numFmtId="0" fontId="0" fillId="5" borderId="2" pivotButton="0" quotePrefix="0" xfId="0"/>
    <xf numFmtId="164" fontId="18" fillId="3" borderId="1" applyAlignment="1" pivotButton="0" quotePrefix="0" xfId="0">
      <alignment horizontal="right" vertical="center"/>
    </xf>
    <xf numFmtId="168" fontId="18" fillId="3" borderId="1" applyAlignment="1" pivotButton="0" quotePrefix="0" xfId="0">
      <alignment horizontal="right" vertical="center"/>
    </xf>
    <xf numFmtId="165" fontId="18" fillId="3" borderId="1" applyAlignment="1" pivotButton="0" quotePrefix="0" xfId="0">
      <alignment horizontal="right" vertical="center"/>
    </xf>
    <xf numFmtId="164" fontId="12" fillId="5" borderId="2" applyAlignment="1" pivotButton="0" quotePrefix="0" xfId="0">
      <alignment horizontal="right" vertical="center"/>
    </xf>
    <xf numFmtId="166" fontId="12" fillId="5" borderId="0" applyAlignment="1" pivotButton="0" quotePrefix="0" xfId="0">
      <alignment horizontal="right" vertical="center"/>
    </xf>
    <xf numFmtId="164" fontId="12" fillId="5" borderId="0" applyAlignment="1" pivotButton="0" quotePrefix="0" xfId="0">
      <alignment horizontal="right" vertical="center"/>
    </xf>
    <xf numFmtId="165" fontId="12" fillId="5" borderId="0" applyAlignment="1" pivotButton="0" quotePrefix="0" xfId="0">
      <alignment horizontal="right" vertical="center"/>
    </xf>
    <xf numFmtId="0" fontId="0" fillId="0" borderId="12" pivotButton="0" quotePrefix="0" xfId="0"/>
    <xf numFmtId="0" fontId="0" fillId="0" borderId="13" pivotButton="0" quotePrefix="0" xfId="0"/>
    <xf numFmtId="164" fontId="17" fillId="0" borderId="0" applyAlignment="1" pivotButton="0" quotePrefix="0" xfId="0">
      <alignment horizontal="right" vertical="center"/>
    </xf>
    <xf numFmtId="166" fontId="17" fillId="0" borderId="0" applyAlignment="1" pivotButton="0" quotePrefix="0" xfId="0">
      <alignment horizontal="right" vertical="center"/>
    </xf>
    <xf numFmtId="167" fontId="12" fillId="5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/>
    </xf>
    <xf numFmtId="164" fontId="8" fillId="0" borderId="0" pivotButton="0" quotePrefix="0" xfId="0"/>
    <xf numFmtId="164" fontId="9" fillId="6" borderId="0" applyAlignment="1" pivotButton="0" quotePrefix="0" xfId="0">
      <alignment horizontal="right"/>
    </xf>
    <xf numFmtId="164" fontId="8" fillId="6" borderId="0" pivotButton="0" quotePrefix="0" xfId="0"/>
    <xf numFmtId="164" fontId="9" fillId="0" borderId="0" applyAlignment="1" pivotButton="0" quotePrefix="0" xfId="0">
      <alignment horizontal="right"/>
    </xf>
    <xf numFmtId="164" fontId="9" fillId="5" borderId="0" applyAlignment="1" pivotButton="0" quotePrefix="0" xfId="0">
      <alignment horizontal="right"/>
    </xf>
    <xf numFmtId="164" fontId="8" fillId="5" borderId="0" pivotButton="0" quotePrefix="0" xfId="0"/>
    <xf numFmtId="164" fontId="9" fillId="7" borderId="0" applyAlignment="1" pivotButton="0" quotePrefix="0" xfId="0">
      <alignment horizontal="right"/>
    </xf>
    <xf numFmtId="164" fontId="13" fillId="0" borderId="0" applyAlignment="1" pivotButton="0" quotePrefix="0" xfId="0">
      <alignment horizontal="right"/>
    </xf>
    <xf numFmtId="165" fontId="14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font>
        <name val="Arial"/>
        <charset val="1"/>
        <family val="0"/>
        <b val="1"/>
        <color rgb="FFDC2626"/>
        <sz val="10"/>
      </font>
      <fill>
        <patternFill patternType="solid">
          <bgColor rgb="FFFEE2E2"/>
        </patternFill>
      </fill>
    </dxf>
    <dxf>
      <font>
        <name val="Arial"/>
        <charset val="1"/>
        <family val="0"/>
        <b val="1"/>
        <color rgb="FFD97706"/>
        <sz val="10"/>
      </font>
      <fill>
        <patternFill patternType="solid">
          <bgColor rgb="FFFEF3C7"/>
        </patternFill>
      </fill>
    </dxf>
    <dxf>
      <font>
        <name val="Arial"/>
        <charset val="1"/>
        <family val="0"/>
        <b val="1"/>
        <color rgb="FF16A34A"/>
        <sz val="10"/>
      </font>
      <fill>
        <patternFill patternType="solid">
          <bgColor rgb="FFDCFCE7"/>
        </patternFill>
      </fill>
    </dxf>
    <dxf>
      <font>
        <name val="Arial"/>
        <charset val="1"/>
        <family val="0"/>
        <b val="1"/>
        <color rgb="FFDC2626"/>
        <sz val="9"/>
      </font>
      <fill>
        <patternFill patternType="solid">
          <bgColor rgb="FFFEE2E2"/>
        </patternFill>
      </fill>
    </dxf>
    <dxf>
      <font>
        <name val="Arial"/>
        <charset val="1"/>
        <family val="0"/>
        <b val="1"/>
        <color rgb="FF16A34A"/>
        <sz val="11"/>
      </font>
      <fill>
        <patternFill patternType="solid">
          <bgColor rgb="FFDCFCE7"/>
        </patternFill>
      </fill>
    </dxf>
    <dxf>
      <font>
        <name val="Arial"/>
        <charset val="1"/>
        <family val="0"/>
        <b val="1"/>
        <color rgb="FFDC2626"/>
        <sz val="11"/>
      </font>
      <fill>
        <patternFill patternType="solid">
          <bgColor rgb="FFFEE2E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EF3C7"/>
      <rgbColor rgb="00DCFCE7"/>
      <rgbColor rgb="00660066"/>
      <rgbColor rgb="00FF8080"/>
      <rgbColor rgb="000066CC"/>
      <rgbColor rgb="00CBD5E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1F5F9"/>
      <rgbColor rgb="00CCFFCC"/>
      <rgbColor rgb="00FFFF99"/>
      <rgbColor rgb="0099CCFF"/>
      <rgbColor rgb="00FF99CC"/>
      <rgbColor rgb="00CC99FF"/>
      <rgbColor rgb="00FEE2E2"/>
      <rgbColor rgb="003366FF"/>
      <rgbColor rgb="0033CCCC"/>
      <rgbColor rgb="0099CC00"/>
      <rgbColor rgb="00FFCC00"/>
      <rgbColor rgb="00FF9900"/>
      <rgbColor rgb="00D97706"/>
      <rgbColor rgb="0064748B"/>
      <rgbColor rgb="0094A3B8"/>
      <rgbColor rgb="000F3460"/>
      <rgbColor rgb="0016A34A"/>
      <rgbColor rgb="00003300"/>
      <rgbColor rgb="00333300"/>
      <rgbColor rgb="00993300"/>
      <rgbColor rgb="00993366"/>
      <rgbColor rgb="00333399"/>
      <rgbColor rgb="00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1"/>
  <sheetViews>
    <sheetView tabSelected="1" zoomScale="171" zoomScaleNormal="171" workbookViewId="0">
      <pane ySplit="5" topLeftCell="A6" activePane="bottomLeft" state="frozen"/>
      <selection activeCell="A1" sqref="A1"/>
      <selection pane="bottomLeft" activeCell="C28" sqref="C28"/>
    </sheetView>
  </sheetViews>
  <sheetFormatPr baseColWidth="8" defaultColWidth="8.6796875" defaultRowHeight="16.8"/>
  <cols>
    <col width="3" customWidth="1" min="1" max="1"/>
    <col width="38" customWidth="1" min="2" max="2"/>
    <col width="16" customWidth="1" min="3" max="5"/>
    <col width="14" customWidth="1" min="6" max="6"/>
    <col width="50" customWidth="1" min="7" max="7"/>
  </cols>
  <sheetData>
    <row r="2" ht="30" customHeight="1">
      <c r="B2" s="1" t="inlineStr">
        <is>
          <t>Tab 1 — ASSUMPTIONS  /  Giả định đầu vào</t>
        </is>
      </c>
    </row>
    <row r="3" ht="19.5" customHeight="1">
      <c r="B3" s="45" t="inlineStr">
        <is>
          <t>Luật chơi: chỉ điền vào các ô MÀU VÀNG. Các ô khác là công thức và sẽ tự tính.</t>
        </is>
      </c>
    </row>
    <row r="5">
      <c r="B5" s="10" t="inlineStr">
        <is>
          <t>1. Product &amp; Pricing  /  Sản phẩm &amp; Giá</t>
        </is>
      </c>
    </row>
    <row r="6">
      <c r="C6" s="33" t="inlineStr">
        <is>
          <t>Optimistic</t>
        </is>
      </c>
      <c r="D6" s="34" t="inlineStr">
        <is>
          <t>Base</t>
        </is>
      </c>
      <c r="E6" s="42" t="inlineStr">
        <is>
          <t>Pessimistic</t>
        </is>
      </c>
      <c r="F6" s="43" t="inlineStr">
        <is>
          <t>Đơn vị</t>
        </is>
      </c>
      <c r="G6" s="17" t="inlineStr">
        <is>
          <t>Ghi chú / Note</t>
        </is>
      </c>
    </row>
    <row r="7">
      <c r="B7" s="13" t="inlineStr">
        <is>
          <t>ARPU — Giá bán bình quân/khách/tháng</t>
        </is>
      </c>
      <c r="C7" s="54" t="n">
        <v>149000</v>
      </c>
      <c r="D7" s="54" t="n">
        <v>99000</v>
      </c>
      <c r="E7" s="54" t="n">
        <v>79000</v>
      </c>
      <c r="F7" s="44" t="inlineStr">
        <is>
          <t>VND</t>
        </is>
      </c>
      <c r="G7" s="45" t="inlineStr">
        <is>
          <t>Pricing cao hơn → khó bán hơn nhưng margin tốt hơn</t>
        </is>
      </c>
    </row>
    <row r="8">
      <c r="B8" s="13" t="inlineStr">
        <is>
          <t>Adoption rate — % TAM chuyển thành khách/tháng</t>
        </is>
      </c>
      <c r="C8" s="55" t="n">
        <v>0.005</v>
      </c>
      <c r="D8" s="55" t="n">
        <v>0.003</v>
      </c>
      <c r="E8" s="56" t="n">
        <v>0.002</v>
      </c>
      <c r="F8" s="44" t="inlineStr">
        <is>
          <t>%/tháng</t>
        </is>
      </c>
      <c r="G8" s="45" t="inlineStr">
        <is>
          <t>% TAM chuyển thành khách trả tiền mới mỗi tháng</t>
        </is>
      </c>
    </row>
    <row r="9">
      <c r="B9" s="13" t="inlineStr">
        <is>
          <t>Total addressable market (số khách tiềm năng)</t>
        </is>
      </c>
      <c r="C9" s="54" t="n">
        <v>50000</v>
      </c>
      <c r="D9" s="54" t="n">
        <v>50000</v>
      </c>
      <c r="E9" s="54" t="n">
        <v>50000</v>
      </c>
      <c r="F9" s="44" t="inlineStr">
        <is>
          <t>khách</t>
        </is>
      </c>
      <c r="G9" s="45" t="inlineStr">
        <is>
          <t>Tổng số khách hàng tiềm năng có thể tiếp cận được</t>
        </is>
      </c>
    </row>
    <row r="11">
      <c r="B11" s="10" t="inlineStr">
        <is>
          <t>2. COGS  /  Chi phí biến đổi trên mỗi khách hàng</t>
        </is>
      </c>
    </row>
    <row r="12">
      <c r="B12" s="13" t="inlineStr">
        <is>
          <t>API cost / khách / tháng</t>
        </is>
      </c>
      <c r="C12" s="54" t="n">
        <v>5000</v>
      </c>
      <c r="D12" s="54" t="n">
        <v>7000</v>
      </c>
      <c r="E12" s="54" t="n">
        <v>9000</v>
      </c>
      <c r="F12" s="44" t="inlineStr">
        <is>
          <t>VND</t>
        </is>
      </c>
      <c r="G12" s="45" t="inlineStr">
        <is>
          <t>Tiền gọi OpenAI/Anthropic/Gemini API</t>
        </is>
      </c>
    </row>
    <row r="13">
      <c r="B13" s="13" t="inlineStr">
        <is>
          <t>Hidden costs (labeling, retraining, QA)</t>
        </is>
      </c>
      <c r="C13" s="54" t="n">
        <v>3000</v>
      </c>
      <c r="D13" s="54" t="n">
        <v>4000</v>
      </c>
      <c r="E13" s="54" t="n">
        <v>5000</v>
      </c>
      <c r="F13" s="44" t="inlineStr">
        <is>
          <t>VND</t>
        </is>
      </c>
      <c r="G13" s="45" t="inlineStr">
        <is>
          <t>Đừng quên! Đây là cục giết startup AI</t>
        </is>
      </c>
    </row>
    <row r="14" ht="17.55" customHeight="1">
      <c r="B14" s="13" t="inlineStr">
        <is>
          <t>Infrastructure (server/cloud) / khách</t>
        </is>
      </c>
      <c r="C14" s="54" t="n">
        <v>2000</v>
      </c>
      <c r="D14" s="54" t="n">
        <v>3000</v>
      </c>
      <c r="E14" s="54" t="n">
        <v>4000</v>
      </c>
      <c r="F14" s="44" t="inlineStr">
        <is>
          <t>VND</t>
        </is>
      </c>
      <c r="G14" s="45" t="inlineStr">
        <is>
          <t>Phần allocate cloud cost cho mỗi khách</t>
        </is>
      </c>
    </row>
    <row r="15">
      <c r="B15" s="49" t="inlineStr">
        <is>
          <t>→ Tổng COGS / khách / tháng</t>
        </is>
      </c>
      <c r="C15" s="57">
        <f>C12+C13+C14</f>
        <v/>
      </c>
      <c r="D15" s="57">
        <f>D12+D13+D14</f>
        <v/>
      </c>
      <c r="E15" s="57">
        <f>E12+E13+E14</f>
        <v/>
      </c>
      <c r="F15" s="53" t="n"/>
    </row>
    <row r="17">
      <c r="B17" s="10" t="inlineStr">
        <is>
          <t>3. Customer Behavior  /  Hành vi khách hàng</t>
        </is>
      </c>
    </row>
    <row r="18">
      <c r="B18" s="13" t="inlineStr">
        <is>
          <t>Monthly Churn Rate — % khách rời mỗi tháng</t>
        </is>
      </c>
      <c r="C18" s="56" t="n">
        <v>0.06</v>
      </c>
      <c r="D18" s="56" t="n">
        <v>0.08</v>
      </c>
      <c r="E18" s="56" t="n">
        <v>0.12</v>
      </c>
      <c r="F18" s="44" t="inlineStr">
        <is>
          <t>%</t>
        </is>
      </c>
      <c r="G18" s="45" t="inlineStr">
        <is>
          <t>Benchmark AI product &lt; 5%/tháng</t>
        </is>
      </c>
    </row>
    <row r="19">
      <c r="B19" s="19" t="inlineStr">
        <is>
          <t>→ Số tháng ở lại trung bình</t>
        </is>
      </c>
      <c r="C19" s="58">
        <f>IFERROR(1/C18,0)</f>
        <v/>
      </c>
      <c r="D19" s="58">
        <f>IFERROR(1/D18,0)</f>
        <v/>
      </c>
      <c r="E19" s="58">
        <f>IFERROR(1/E18,0)</f>
        <v/>
      </c>
      <c r="F19" s="46" t="n"/>
    </row>
    <row r="21">
      <c r="B21" s="10" t="inlineStr">
        <is>
          <t>4. Sales &amp; Marketing  /  Chi phí thu hút khách</t>
        </is>
      </c>
    </row>
    <row r="22">
      <c r="B22" s="13" t="inlineStr">
        <is>
          <t>CAC — Tổng chi phí có 1 khách hàng mới</t>
        </is>
      </c>
      <c r="C22" s="54" t="n">
        <v>80000</v>
      </c>
      <c r="D22" s="54" t="n">
        <v>120000</v>
      </c>
      <c r="E22" s="54" t="n">
        <v>200000</v>
      </c>
      <c r="F22" s="44" t="inlineStr">
        <is>
          <t>VND</t>
        </is>
      </c>
      <c r="G22" s="45" t="inlineStr">
        <is>
          <t>Tổng tiền Marketing &amp; Sales / Số khách mới</t>
        </is>
      </c>
    </row>
    <row r="24">
      <c r="B24" s="10" t="inlineStr">
        <is>
          <t>5. Fixed Costs  /  Chi phí cố định hàng tháng</t>
        </is>
      </c>
    </row>
    <row r="25">
      <c r="B25" s="13" t="inlineStr">
        <is>
          <t>Salaries — Lương team (PM/Dev/Designer)</t>
        </is>
      </c>
      <c r="C25" s="54" t="n">
        <v>40000000</v>
      </c>
      <c r="D25" s="54" t="n">
        <v>30000000</v>
      </c>
      <c r="E25" s="54" t="n">
        <v>25000000</v>
      </c>
      <c r="F25" s="44" t="inlineStr">
        <is>
          <t>VND/tháng</t>
        </is>
      </c>
      <c r="G25" s="45" t="inlineStr">
        <is>
          <t>Pessimistic = phải hire thêm nếu khó scale</t>
        </is>
      </c>
    </row>
    <row r="26">
      <c r="B26" s="13" t="inlineStr">
        <is>
          <t>Office, tools, admin</t>
        </is>
      </c>
      <c r="C26" s="54" t="n">
        <v>5000000</v>
      </c>
      <c r="D26" s="54" t="n">
        <v>5000000</v>
      </c>
      <c r="E26" s="54" t="n">
        <v>5000000</v>
      </c>
      <c r="F26" s="44" t="inlineStr">
        <is>
          <t>VND/tháng</t>
        </is>
      </c>
    </row>
    <row r="27">
      <c r="B27" s="13" t="inlineStr">
        <is>
          <t>Marketing budget hàng tháng</t>
        </is>
      </c>
      <c r="C27" s="54" t="n">
        <v>15000000</v>
      </c>
      <c r="D27" s="54" t="n">
        <v>10000000</v>
      </c>
      <c r="E27" s="54" t="n">
        <v>10000000</v>
      </c>
      <c r="F27" s="44" t="inlineStr">
        <is>
          <t>VND/tháng</t>
        </is>
      </c>
    </row>
    <row r="28">
      <c r="B28" s="19" t="inlineStr">
        <is>
          <t>→ Tổng Fixed Cost / tháng</t>
        </is>
      </c>
      <c r="C28" s="59">
        <f>SUM(C25:C27)</f>
        <v/>
      </c>
      <c r="D28" s="59">
        <f>SUM(D25:D27)</f>
        <v/>
      </c>
      <c r="E28" s="59">
        <f>SUM(E25:E27)</f>
        <v/>
      </c>
      <c r="F28" s="46" t="n"/>
    </row>
    <row r="30">
      <c r="B30" s="10" t="inlineStr">
        <is>
          <t>6. Initial Investment  /  Vốn đầu tư ban đầu</t>
        </is>
      </c>
    </row>
    <row r="31">
      <c r="B31" s="13" t="inlineStr">
        <is>
          <t>Vốn đầu tư ban đầu (build MVP, setup)</t>
        </is>
      </c>
      <c r="C31" s="54" t="n">
        <v>200000000</v>
      </c>
      <c r="D31" s="54" t="n">
        <v>200000000</v>
      </c>
      <c r="E31" s="54" t="n">
        <v>200000000</v>
      </c>
      <c r="F31" s="44" t="inlineStr">
        <is>
          <t>VND</t>
        </is>
      </c>
      <c r="G31" s="45" t="inlineStr">
        <is>
          <t>Chi phí 1 lần — lương team build MVP, infrastructure setup</t>
        </is>
      </c>
    </row>
    <row r="32">
      <c r="B32" s="13" t="inlineStr">
        <is>
          <t>Tiền mặt ban đầu (sau khi đã trừ vốn đầu tư)</t>
        </is>
      </c>
      <c r="C32" s="54" t="n">
        <v>800000000</v>
      </c>
      <c r="D32" s="54" t="n">
        <v>600000000</v>
      </c>
      <c r="E32" s="54" t="n">
        <v>900000000</v>
      </c>
      <c r="F32" s="44" t="inlineStr">
        <is>
          <t>VND</t>
        </is>
      </c>
      <c r="G32" s="45" t="inlineStr">
        <is>
          <t>Số tiền có sẵn để chi trả fixed cost trong giai đoạn đầu</t>
        </is>
      </c>
    </row>
    <row r="34">
      <c r="B34" s="10" t="inlineStr">
        <is>
          <t>7. Discount Rate  /  Tỷ suất chiết khấu (cho NPV)</t>
        </is>
      </c>
    </row>
    <row r="35">
      <c r="B35" s="13" t="inlineStr">
        <is>
          <t>Annual discount rate (WACC)</t>
        </is>
      </c>
      <c r="C35" s="56" t="n">
        <v>0.2</v>
      </c>
      <c r="D35" s="56" t="n">
        <v>0.2</v>
      </c>
      <c r="E35" s="56" t="n">
        <v>0.2</v>
      </c>
      <c r="F35" s="44" t="inlineStr">
        <is>
          <t>%/năm</t>
        </is>
      </c>
      <c r="G35" s="45" t="inlineStr">
        <is>
          <t>Mức kỳ vọng tối thiểu của nhà đầu tư cho dự án AI rủi ro</t>
        </is>
      </c>
    </row>
    <row r="36">
      <c r="B36" s="19" t="inlineStr">
        <is>
          <t>→ Monthly discount rate</t>
        </is>
      </c>
      <c r="C36" s="60">
        <f>(1+C35)^(1/12)-1</f>
        <v/>
      </c>
      <c r="D36" s="60">
        <f>(1+D35)^(1/12)-1</f>
        <v/>
      </c>
      <c r="E36" s="60">
        <f>(1+E35)^(1/12)-1</f>
        <v/>
      </c>
      <c r="F36" s="46" t="n"/>
    </row>
    <row r="38">
      <c r="B38" s="10" t="inlineStr">
        <is>
          <t>8. Decision Note  /  Ghi chú quyết định</t>
        </is>
      </c>
    </row>
    <row r="39" ht="24.75" customHeight="1">
      <c r="B39" s="52" t="inlineStr">
        <is>
          <t>StudyPilot nhắm tới phân khúc sinh viên đại học Việt Nam, mức giá 79K-149K VND/tháng dựa trên willingness-to-pay benchmark của các app EdTech (như Quizlet Plus ~-5/tháng). CAC thấp nhờ viral trong campus và group học tập. AI Hidden Costs chiếm ~57% API cost để fine-tune prompt và human QA.</t>
        </is>
      </c>
      <c r="C39" s="61" t="n"/>
      <c r="D39" s="61" t="n"/>
      <c r="E39" s="61" t="n"/>
      <c r="F39" s="61" t="n"/>
    </row>
    <row r="40" ht="24.75" customHeight="1">
      <c r="B40" s="62" t="n"/>
    </row>
    <row r="41" ht="24.75" customHeight="1">
      <c r="B41" s="62" t="n"/>
    </row>
  </sheetData>
  <mergeCells count="11">
    <mergeCell ref="B3:G3"/>
    <mergeCell ref="B21:F21"/>
    <mergeCell ref="B30:F30"/>
    <mergeCell ref="B24:F24"/>
    <mergeCell ref="B2:F2"/>
    <mergeCell ref="B34:F34"/>
    <mergeCell ref="B38:F38"/>
    <mergeCell ref="B11:F11"/>
    <mergeCell ref="B17:F17"/>
    <mergeCell ref="B5:F5"/>
    <mergeCell ref="B39:F4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5"/>
  <sheetViews>
    <sheetView zoomScale="147" zoomScaleNormal="147" workbookViewId="0">
      <pane ySplit="5" topLeftCell="A6" activePane="bottomLeft" state="frozen"/>
      <selection activeCell="A1" sqref="A1"/>
      <selection pane="bottomLeft" activeCell="E21" sqref="E21"/>
    </sheetView>
  </sheetViews>
  <sheetFormatPr baseColWidth="8" defaultColWidth="8.6796875" defaultRowHeight="16.8"/>
  <cols>
    <col width="3" customWidth="1" min="1" max="1"/>
    <col width="38" customWidth="1" min="2" max="2"/>
    <col width="16" customWidth="1" min="3" max="5"/>
    <col width="14" customWidth="1" min="6" max="6"/>
    <col width="50" customWidth="1" min="7" max="7"/>
  </cols>
  <sheetData>
    <row r="2" ht="30" customHeight="1">
      <c r="B2" s="1" t="inlineStr">
        <is>
          <t>Tab 2 — UNIT ECONOMICS  /  Kinh tế đơn vị</t>
        </is>
      </c>
    </row>
    <row r="3" ht="19.5" customHeight="1">
      <c r="B3" s="45" t="inlineStr">
        <is>
          <t>Tự động tính từ Tab 1. Kiểm tra: LTV/CAC &gt; 3 (Base) và CAC Payback &lt; 12 tháng.</t>
        </is>
      </c>
    </row>
    <row r="5">
      <c r="B5" s="17" t="inlineStr">
        <is>
          <t>Chỉ số</t>
        </is>
      </c>
      <c r="C5" s="33" t="inlineStr">
        <is>
          <t>Optimistic</t>
        </is>
      </c>
      <c r="D5" s="34" t="inlineStr">
        <is>
          <t>Base</t>
        </is>
      </c>
      <c r="E5" s="42" t="inlineStr">
        <is>
          <t>Pessimistic</t>
        </is>
      </c>
      <c r="F5" s="43" t="inlineStr">
        <is>
          <t>Đơn vị</t>
        </is>
      </c>
      <c r="G5" s="17" t="inlineStr">
        <is>
          <t>Benchmark / Note</t>
        </is>
      </c>
    </row>
    <row r="7">
      <c r="B7" s="10" t="inlineStr">
        <is>
          <t>Trên mỗi khách hàng / per customer</t>
        </is>
      </c>
    </row>
    <row r="8">
      <c r="B8" s="13" t="inlineStr">
        <is>
          <t>ARPU / tháng</t>
        </is>
      </c>
      <c r="C8" s="63">
        <f>'1. Assumptions'!C7</f>
        <v/>
      </c>
      <c r="D8" s="63">
        <f>'1. Assumptions'!D7</f>
        <v/>
      </c>
      <c r="E8" s="63">
        <f>'1. Assumptions'!E7</f>
        <v/>
      </c>
      <c r="F8" s="44" t="inlineStr">
        <is>
          <t>VND</t>
        </is>
      </c>
      <c r="G8" s="45" t="inlineStr">
        <is>
          <t>Liên kết từ Tab Assumptions</t>
        </is>
      </c>
    </row>
    <row r="9">
      <c r="B9" s="13" t="inlineStr">
        <is>
          <t>COGS / tháng</t>
        </is>
      </c>
      <c r="C9" s="63">
        <f>'1. Assumptions'!C15</f>
        <v/>
      </c>
      <c r="D9" s="63">
        <f>'1. Assumptions'!D15</f>
        <v/>
      </c>
      <c r="E9" s="63">
        <f>'1. Assumptions'!E15</f>
        <v/>
      </c>
      <c r="F9" s="44" t="inlineStr">
        <is>
          <t>VND</t>
        </is>
      </c>
    </row>
    <row r="10">
      <c r="B10" s="19" t="inlineStr">
        <is>
          <t>→ Gross Profit / tháng</t>
        </is>
      </c>
      <c r="C10" s="59">
        <f>C8-C9</f>
        <v/>
      </c>
      <c r="D10" s="59">
        <f>D8-D9</f>
        <v/>
      </c>
      <c r="E10" s="59">
        <f>E8-E9</f>
        <v/>
      </c>
      <c r="F10" s="46" t="n"/>
    </row>
    <row r="11">
      <c r="B11" s="19" t="inlineStr">
        <is>
          <t>→ Gross Margin %</t>
        </is>
      </c>
      <c r="C11" s="60">
        <f>IFERROR(C10/C8,0)</f>
        <v/>
      </c>
      <c r="D11" s="60">
        <f>IFERROR(D10/D8,0)</f>
        <v/>
      </c>
      <c r="E11" s="60">
        <f>IFERROR(E10/E8,0)</f>
        <v/>
      </c>
      <c r="F11" s="46" t="n"/>
      <c r="G11" s="45" t="inlineStr">
        <is>
          <t>AI product target: 40-60%. SaaS truyền thống: 80%+</t>
        </is>
      </c>
    </row>
    <row r="13">
      <c r="B13" s="10" t="inlineStr">
        <is>
          <t>LTV — Customer Lifetime Value</t>
        </is>
      </c>
    </row>
    <row r="14">
      <c r="B14" s="13" t="inlineStr">
        <is>
          <t>Số tháng ở lại trung bình</t>
        </is>
      </c>
      <c r="C14" s="64">
        <f>'1. Assumptions'!C19</f>
        <v/>
      </c>
      <c r="D14" s="64">
        <f>'1. Assumptions'!D19</f>
        <v/>
      </c>
      <c r="E14" s="64">
        <f>'1. Assumptions'!E19</f>
        <v/>
      </c>
      <c r="F14" s="44" t="inlineStr">
        <is>
          <t>tháng</t>
        </is>
      </c>
    </row>
    <row r="15">
      <c r="B15" s="19" t="inlineStr">
        <is>
          <t>→ LTV = Gross Profit × Số tháng ở lại</t>
        </is>
      </c>
      <c r="C15" s="59">
        <f>C10*C14</f>
        <v/>
      </c>
      <c r="D15" s="59">
        <f>D10*D14</f>
        <v/>
      </c>
      <c r="E15" s="59">
        <f>E10*E14</f>
        <v/>
      </c>
      <c r="F15" s="46" t="n"/>
      <c r="G15" s="45" t="inlineStr">
        <is>
          <t>Tổng lợi nhuận gộp một khách mang lại trong vòng đời</t>
        </is>
      </c>
    </row>
    <row r="17">
      <c r="B17" s="10" t="inlineStr">
        <is>
          <t>CAC — Customer Acquisition Cost</t>
        </is>
      </c>
    </row>
    <row r="18">
      <c r="B18" s="13" t="inlineStr">
        <is>
          <t>CAC — Chi phí thu hút 1 khách</t>
        </is>
      </c>
      <c r="C18" s="63">
        <f>'1. Assumptions'!C22</f>
        <v/>
      </c>
      <c r="D18" s="63">
        <f>'1. Assumptions'!D22</f>
        <v/>
      </c>
      <c r="E18" s="63">
        <f>'1. Assumptions'!E22</f>
        <v/>
      </c>
      <c r="F18" s="44" t="inlineStr">
        <is>
          <t>VND</t>
        </is>
      </c>
    </row>
    <row r="20">
      <c r="B20" s="10" t="inlineStr">
        <is>
          <t>Key Ratios  /  Tỷ lệ then chốt</t>
        </is>
      </c>
    </row>
    <row r="21">
      <c r="B21" s="19" t="inlineStr">
        <is>
          <t>→ LTV / CAC Ratio</t>
        </is>
      </c>
      <c r="C21" s="65">
        <f>IFERROR(C15/C18,0)</f>
        <v/>
      </c>
      <c r="D21" s="65">
        <f>IFERROR(D15/D18,0)</f>
        <v/>
      </c>
      <c r="E21" s="65">
        <f>IFERROR(E15/E18,0)</f>
        <v/>
      </c>
      <c r="F21" s="46" t="n"/>
      <c r="G21" s="45" t="inlineStr">
        <is>
          <t>🎯 Target &gt; 3.0x (tiêu chuẩn vàng VC)</t>
        </is>
      </c>
    </row>
    <row r="22">
      <c r="B22" s="19" t="inlineStr">
        <is>
          <t>→ CAC Payback Period</t>
        </is>
      </c>
      <c r="C22" s="58">
        <f>IFERROR(C18/C10,0)</f>
        <v/>
      </c>
      <c r="D22" s="58">
        <f>IFERROR(D18/D10,0)</f>
        <v/>
      </c>
      <c r="E22" s="58">
        <f>IFERROR(E18/E10,0)</f>
        <v/>
      </c>
      <c r="F22" s="46" t="n"/>
      <c r="G22" s="45" t="inlineStr">
        <is>
          <t>🎯 Target &lt; 12 tháng (early-stage)</t>
        </is>
      </c>
    </row>
    <row r="24">
      <c r="B24" s="10" t="inlineStr">
        <is>
          <t>Verdict  /  Kết luận</t>
        </is>
      </c>
    </row>
    <row r="25">
      <c r="B25" s="17" t="inlineStr">
        <is>
          <t>Unit Economics Status</t>
        </is>
      </c>
      <c r="C25" s="41">
        <f>IF(AND(C21&gt;=3,C22&lt;=12),"✓ HEALTHY",IF(OR(C21&lt;1,C22&gt;18),"✗ UNHEALTHY","⚠ WATCH"))</f>
        <v/>
      </c>
      <c r="D25" s="41">
        <f>IF(AND(D21&gt;=3,D22&lt;=12),"✓ HEALTHY",IF(OR(D21&lt;1,D22&gt;18),"✗ UNHEALTHY","⚠ WATCH"))</f>
        <v/>
      </c>
      <c r="E25" s="41">
        <f>IF(AND(E21&gt;=3,E22&lt;=12),"✓ HEALTHY",IF(OR(E21&lt;1,E22&gt;18),"✗ UNHEALTHY","⚠ WATCH"))</f>
        <v/>
      </c>
    </row>
  </sheetData>
  <mergeCells count="7">
    <mergeCell ref="B3:G3"/>
    <mergeCell ref="B7:F7"/>
    <mergeCell ref="B24:F24"/>
    <mergeCell ref="B2:F2"/>
    <mergeCell ref="B20:F20"/>
    <mergeCell ref="B17:F17"/>
    <mergeCell ref="B13:F13"/>
  </mergeCells>
  <conditionalFormatting sqref="C21">
    <cfRule type="cellIs" priority="2" operator="lessThan" dxfId="0">
      <formula>1</formula>
    </cfRule>
    <cfRule type="cellIs" priority="3" operator="between" dxfId="1">
      <formula>1</formula>
      <formula>3</formula>
    </cfRule>
    <cfRule type="cellIs" priority="4" operator="greaterThanOrEqual" dxfId="2">
      <formula>3</formula>
    </cfRule>
  </conditionalFormatting>
  <conditionalFormatting sqref="D21">
    <cfRule type="cellIs" priority="5" operator="lessThan" dxfId="0">
      <formula>1</formula>
    </cfRule>
    <cfRule type="cellIs" priority="6" operator="between" dxfId="1">
      <formula>1</formula>
      <formula>3</formula>
    </cfRule>
    <cfRule type="cellIs" priority="7" operator="greaterThanOrEqual" dxfId="2">
      <formula>3</formula>
    </cfRule>
  </conditionalFormatting>
  <conditionalFormatting sqref="E21">
    <cfRule type="cellIs" priority="8" operator="lessThan" dxfId="0">
      <formula>1</formula>
    </cfRule>
    <cfRule type="cellIs" priority="9" operator="between" dxfId="1">
      <formula>1</formula>
      <formula>3</formula>
    </cfRule>
    <cfRule type="cellIs" priority="10" operator="greaterThanOrEqual" dxfId="2">
      <formula>3</formula>
    </cfRule>
  </conditionalFormatting>
  <conditionalFormatting sqref="C22">
    <cfRule type="cellIs" priority="11" operator="greaterThan" dxfId="0">
      <formula>18</formula>
    </cfRule>
    <cfRule type="cellIs" priority="12" operator="between" dxfId="1">
      <formula>12</formula>
      <formula>18</formula>
    </cfRule>
    <cfRule type="cellIs" priority="13" operator="lessThanOrEqual" dxfId="2">
      <formula>12</formula>
    </cfRule>
  </conditionalFormatting>
  <conditionalFormatting sqref="D22">
    <cfRule type="cellIs" priority="14" operator="greaterThan" dxfId="0">
      <formula>18</formula>
    </cfRule>
    <cfRule type="cellIs" priority="15" operator="between" dxfId="1">
      <formula>12</formula>
      <formula>18</formula>
    </cfRule>
    <cfRule type="cellIs" priority="16" operator="lessThanOrEqual" dxfId="2">
      <formula>12</formula>
    </cfRule>
  </conditionalFormatting>
  <conditionalFormatting sqref="E22">
    <cfRule type="cellIs" priority="17" operator="greaterThan" dxfId="0">
      <formula>18</formula>
    </cfRule>
    <cfRule type="cellIs" priority="18" operator="between" dxfId="1">
      <formula>12</formula>
      <formula>18</formula>
    </cfRule>
    <cfRule type="cellIs" priority="19" operator="lessThanOrEqual" dxfId="2">
      <formula>12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A44"/>
  <sheetViews>
    <sheetView zoomScale="173" zoomScaleNormal="173" workbookViewId="0">
      <pane xSplit="2" ySplit="21" topLeftCell="C26" activePane="bottomRight" state="frozen"/>
      <selection activeCell="A1" sqref="A1"/>
      <selection pane="topRight" activeCell="A1" sqref="A1"/>
      <selection pane="bottomLeft" activeCell="A1" sqref="A1"/>
      <selection pane="bottomRight" activeCell="C40" sqref="C40"/>
    </sheetView>
  </sheetViews>
  <sheetFormatPr baseColWidth="8" defaultColWidth="8.6796875" defaultRowHeight="16.8"/>
  <cols>
    <col width="3" customWidth="1" min="1" max="1"/>
    <col width="36" customWidth="1" min="2" max="2"/>
    <col width="13" customWidth="1" min="3" max="26"/>
    <col width="16" customWidth="1" min="27" max="27"/>
  </cols>
  <sheetData>
    <row r="2" hidden="1" ht="30" customHeight="1">
      <c r="B2" s="1" t="inlineStr">
        <is>
          <t>Tab 3 — P&amp;L &amp; ROI  /  24 tháng</t>
        </is>
      </c>
    </row>
    <row r="3" hidden="1"/>
    <row r="4" hidden="1" ht="15" customHeight="1">
      <c r="B4" s="2" t="inlineStr">
        <is>
          <t>Chọn scenario:</t>
        </is>
      </c>
      <c r="C4" s="3" t="inlineStr">
        <is>
          <t>Base</t>
        </is>
      </c>
      <c r="D4" s="45" t="inlineStr">
        <is>
          <t>Đổi scenario tại đây để toàn bộ P&amp;L tự cập nhật</t>
        </is>
      </c>
    </row>
    <row r="5" hidden="1"/>
    <row r="6" hidden="1">
      <c r="B6" s="5" t="inlineStr">
        <is>
          <t>Active scenario index:</t>
        </is>
      </c>
      <c r="C6" s="5">
        <f>MATCH(C4,{"Optimistic","Base","Pessimistic"},0)</f>
        <v/>
      </c>
    </row>
    <row r="7" hidden="1">
      <c r="B7" s="6" t="inlineStr">
        <is>
          <t>Selected scenario inputs ↓</t>
        </is>
      </c>
    </row>
    <row r="8" hidden="1">
      <c r="B8" s="7" t="inlineStr">
        <is>
          <t>ARPU / khách / tháng</t>
        </is>
      </c>
      <c r="C8" s="66">
        <f>CHOOSE($C$6,'1. Assumptions'!C7,'1. Assumptions'!D7,'1. Assumptions'!E7)</f>
        <v/>
      </c>
    </row>
    <row r="9" hidden="1">
      <c r="B9" s="7" t="inlineStr">
        <is>
          <t>Adoption rate</t>
        </is>
      </c>
      <c r="C9" s="67">
        <f>CHOOSE($C$6,'1. Assumptions'!C8,'1. Assumptions'!D8,'1. Assumptions'!E8)</f>
        <v/>
      </c>
    </row>
    <row r="10" hidden="1">
      <c r="B10" s="7" t="inlineStr">
        <is>
          <t>TAM (số khách tiềm năng)</t>
        </is>
      </c>
      <c r="C10" s="66">
        <f>CHOOSE($C$6,'1. Assumptions'!C9,'1. Assumptions'!D9,'1. Assumptions'!E9)</f>
        <v/>
      </c>
    </row>
    <row r="11" hidden="1">
      <c r="B11" s="7" t="inlineStr">
        <is>
          <t>Total COGS / khách</t>
        </is>
      </c>
      <c r="C11" s="66">
        <f>CHOOSE($C$6,'1. Assumptions'!C15,'1. Assumptions'!D15,'1. Assumptions'!E15)</f>
        <v/>
      </c>
    </row>
    <row r="12" hidden="1">
      <c r="B12" s="7" t="inlineStr">
        <is>
          <t>Monthly Churn Rate</t>
        </is>
      </c>
      <c r="C12" s="67">
        <f>CHOOSE($C$6,'1. Assumptions'!C18,'1. Assumptions'!D18,'1. Assumptions'!E18)</f>
        <v/>
      </c>
    </row>
    <row r="13" hidden="1">
      <c r="B13" s="7" t="inlineStr">
        <is>
          <t>CAC / khách mới</t>
        </is>
      </c>
      <c r="C13" s="66">
        <f>CHOOSE($C$6,'1. Assumptions'!C22,'1. Assumptions'!D22,'1. Assumptions'!E22)</f>
        <v/>
      </c>
    </row>
    <row r="14" hidden="1">
      <c r="B14" s="7" t="inlineStr">
        <is>
          <t>Fixed Cost / tháng</t>
        </is>
      </c>
      <c r="C14" s="66">
        <f>CHOOSE($C$6,'1. Assumptions'!C28,'1. Assumptions'!D28,'1. Assumptions'!E28)</f>
        <v/>
      </c>
    </row>
    <row r="15" hidden="1">
      <c r="B15" s="7" t="inlineStr">
        <is>
          <t>Initial Investment</t>
        </is>
      </c>
      <c r="C15" s="66">
        <f>CHOOSE($C$6,'1. Assumptions'!C31,'1. Assumptions'!D31,'1. Assumptions'!E31)</f>
        <v/>
      </c>
    </row>
    <row r="16" hidden="1">
      <c r="B16" s="7" t="inlineStr">
        <is>
          <t>Initial Cash</t>
        </is>
      </c>
      <c r="C16" s="66">
        <f>CHOOSE($C$6,'1. Assumptions'!C32,'1. Assumptions'!D32,'1. Assumptions'!E32)</f>
        <v/>
      </c>
    </row>
    <row r="17" hidden="1">
      <c r="B17" s="7" t="inlineStr">
        <is>
          <t>Monthly Discount Rate</t>
        </is>
      </c>
      <c r="C17" s="67">
        <f>CHOOSE($C$6,'1. Assumptions'!C36,'1. Assumptions'!D36,'1. Assumptions'!E36)</f>
        <v/>
      </c>
    </row>
    <row r="20" ht="16" customHeight="1">
      <c r="B20" s="10" t="inlineStr">
        <is>
          <t>P&amp;L Projection — 24 months  (VND)</t>
        </is>
      </c>
    </row>
    <row r="21">
      <c r="B21" s="11" t="inlineStr">
        <is>
          <t>Month</t>
        </is>
      </c>
      <c r="C21" s="12" t="inlineStr">
        <is>
          <t>M1</t>
        </is>
      </c>
      <c r="D21" s="12" t="inlineStr">
        <is>
          <t>M2</t>
        </is>
      </c>
      <c r="E21" s="12" t="inlineStr">
        <is>
          <t>M3</t>
        </is>
      </c>
      <c r="F21" s="12" t="inlineStr">
        <is>
          <t>M4</t>
        </is>
      </c>
      <c r="G21" s="12" t="inlineStr">
        <is>
          <t>M5</t>
        </is>
      </c>
      <c r="H21" s="12" t="inlineStr">
        <is>
          <t>M6</t>
        </is>
      </c>
      <c r="I21" s="12" t="inlineStr">
        <is>
          <t>M7</t>
        </is>
      </c>
      <c r="J21" s="12" t="inlineStr">
        <is>
          <t>M8</t>
        </is>
      </c>
      <c r="K21" s="12" t="inlineStr">
        <is>
          <t>M9</t>
        </is>
      </c>
      <c r="L21" s="12" t="inlineStr">
        <is>
          <t>M10</t>
        </is>
      </c>
      <c r="M21" s="12" t="inlineStr">
        <is>
          <t>M11</t>
        </is>
      </c>
      <c r="N21" s="12" t="inlineStr">
        <is>
          <t>M12</t>
        </is>
      </c>
      <c r="O21" s="12" t="inlineStr">
        <is>
          <t>M13</t>
        </is>
      </c>
      <c r="P21" s="12" t="inlineStr">
        <is>
          <t>M14</t>
        </is>
      </c>
      <c r="Q21" s="12" t="inlineStr">
        <is>
          <t>M15</t>
        </is>
      </c>
      <c r="R21" s="12" t="inlineStr">
        <is>
          <t>M16</t>
        </is>
      </c>
      <c r="S21" s="12" t="inlineStr">
        <is>
          <t>M17</t>
        </is>
      </c>
      <c r="T21" s="12" t="inlineStr">
        <is>
          <t>M18</t>
        </is>
      </c>
      <c r="U21" s="12" t="inlineStr">
        <is>
          <t>M19</t>
        </is>
      </c>
      <c r="V21" s="12" t="inlineStr">
        <is>
          <t>M20</t>
        </is>
      </c>
      <c r="W21" s="12" t="inlineStr">
        <is>
          <t>M21</t>
        </is>
      </c>
      <c r="X21" s="12" t="inlineStr">
        <is>
          <t>M22</t>
        </is>
      </c>
      <c r="Y21" s="12" t="inlineStr">
        <is>
          <t>M23</t>
        </is>
      </c>
      <c r="Z21" s="12" t="inlineStr">
        <is>
          <t>M24</t>
        </is>
      </c>
      <c r="AA21" s="29" t="inlineStr">
        <is>
          <t>TOTAL</t>
        </is>
      </c>
    </row>
    <row r="22">
      <c r="B22" s="13" t="inlineStr">
        <is>
          <t>New customers acquired</t>
        </is>
      </c>
      <c r="C22" s="68">
        <f>ROUND($C$10*$C$9,0)</f>
        <v/>
      </c>
      <c r="D22" s="68">
        <f>ROUND($C$10*$C$9,0)</f>
        <v/>
      </c>
      <c r="E22" s="68">
        <f>ROUND($C$10*$C$9,0)</f>
        <v/>
      </c>
      <c r="F22" s="68">
        <f>ROUND($C$10*$C$9,0)</f>
        <v/>
      </c>
      <c r="G22" s="68">
        <f>ROUND($C$10*$C$9,0)</f>
        <v/>
      </c>
      <c r="H22" s="68">
        <f>ROUND($C$10*$C$9,0)</f>
        <v/>
      </c>
      <c r="I22" s="68">
        <f>ROUND($C$10*$C$9,0)</f>
        <v/>
      </c>
      <c r="J22" s="68">
        <f>ROUND($C$10*$C$9,0)</f>
        <v/>
      </c>
      <c r="K22" s="68">
        <f>ROUND($C$10*$C$9,0)</f>
        <v/>
      </c>
      <c r="L22" s="68">
        <f>ROUND($C$10*$C$9,0)</f>
        <v/>
      </c>
      <c r="M22" s="68">
        <f>ROUND($C$10*$C$9,0)</f>
        <v/>
      </c>
      <c r="N22" s="68">
        <f>ROUND($C$10*$C$9,0)</f>
        <v/>
      </c>
      <c r="O22" s="68">
        <f>ROUND($C$10*$C$9,0)</f>
        <v/>
      </c>
      <c r="P22" s="68">
        <f>ROUND($C$10*$C$9,0)</f>
        <v/>
      </c>
      <c r="Q22" s="68">
        <f>ROUND($C$10*$C$9,0)</f>
        <v/>
      </c>
      <c r="R22" s="68">
        <f>ROUND($C$10*$C$9,0)</f>
        <v/>
      </c>
      <c r="S22" s="68">
        <f>ROUND($C$10*$C$9,0)</f>
        <v/>
      </c>
      <c r="T22" s="68">
        <f>ROUND($C$10*$C$9,0)</f>
        <v/>
      </c>
      <c r="U22" s="68">
        <f>ROUND($C$10*$C$9,0)</f>
        <v/>
      </c>
      <c r="V22" s="68">
        <f>ROUND($C$10*$C$9,0)</f>
        <v/>
      </c>
      <c r="W22" s="68">
        <f>ROUND($C$10*$C$9,0)</f>
        <v/>
      </c>
      <c r="X22" s="68">
        <f>ROUND($C$10*$C$9,0)</f>
        <v/>
      </c>
      <c r="Y22" s="68">
        <f>ROUND($C$10*$C$9,0)</f>
        <v/>
      </c>
      <c r="Z22" s="68">
        <f>ROUND($C$10*$C$9,0)</f>
        <v/>
      </c>
      <c r="AA22" s="69">
        <f>SUM(C22:Z22)</f>
        <v/>
      </c>
    </row>
    <row r="23">
      <c r="B23" s="13" t="inlineStr">
        <is>
          <t>Active customers (end of month)</t>
        </is>
      </c>
      <c r="C23" s="68">
        <f>C22</f>
        <v/>
      </c>
      <c r="D23" s="68">
        <f>C23*(1-$C$12)+D22</f>
        <v/>
      </c>
      <c r="E23" s="68">
        <f>D23*(1-$C$12)+E22</f>
        <v/>
      </c>
      <c r="F23" s="68">
        <f>E23*(1-$C$12)+F22</f>
        <v/>
      </c>
      <c r="G23" s="68">
        <f>F23*(1-$C$12)+G22</f>
        <v/>
      </c>
      <c r="H23" s="68">
        <f>G23*(1-$C$12)+H22</f>
        <v/>
      </c>
      <c r="I23" s="68">
        <f>H23*(1-$C$12)+I22</f>
        <v/>
      </c>
      <c r="J23" s="68">
        <f>I23*(1-$C$12)+J22</f>
        <v/>
      </c>
      <c r="K23" s="68">
        <f>J23*(1-$C$12)+K22</f>
        <v/>
      </c>
      <c r="L23" s="68">
        <f>K23*(1-$C$12)+L22</f>
        <v/>
      </c>
      <c r="M23" s="68">
        <f>L23*(1-$C$12)+M22</f>
        <v/>
      </c>
      <c r="N23" s="68">
        <f>M23*(1-$C$12)+N22</f>
        <v/>
      </c>
      <c r="O23" s="68">
        <f>N23*(1-$C$12)+O22</f>
        <v/>
      </c>
      <c r="P23" s="68">
        <f>O23*(1-$C$12)+P22</f>
        <v/>
      </c>
      <c r="Q23" s="68">
        <f>P23*(1-$C$12)+Q22</f>
        <v/>
      </c>
      <c r="R23" s="68">
        <f>Q23*(1-$C$12)+R22</f>
        <v/>
      </c>
      <c r="S23" s="68">
        <f>R23*(1-$C$12)+S22</f>
        <v/>
      </c>
      <c r="T23" s="68">
        <f>S23*(1-$C$12)+T22</f>
        <v/>
      </c>
      <c r="U23" s="68">
        <f>T23*(1-$C$12)+U22</f>
        <v/>
      </c>
      <c r="V23" s="68">
        <f>U23*(1-$C$12)+V22</f>
        <v/>
      </c>
      <c r="W23" s="68">
        <f>V23*(1-$C$12)+W22</f>
        <v/>
      </c>
      <c r="X23" s="68">
        <f>W23*(1-$C$12)+X22</f>
        <v/>
      </c>
      <c r="Y23" s="68">
        <f>X23*(1-$C$12)+Y22</f>
        <v/>
      </c>
      <c r="Z23" s="68">
        <f>Y23*(1-$C$12)+Z22</f>
        <v/>
      </c>
    </row>
    <row r="25">
      <c r="B25" s="15" t="inlineStr">
        <is>
          <t>Revenue</t>
        </is>
      </c>
      <c r="C25" s="70">
        <f>C23*$C$8</f>
        <v/>
      </c>
      <c r="D25" s="70">
        <f>D23*$C$8</f>
        <v/>
      </c>
      <c r="E25" s="70">
        <f>E23*$C$8</f>
        <v/>
      </c>
      <c r="F25" s="70">
        <f>F23*$C$8</f>
        <v/>
      </c>
      <c r="G25" s="70">
        <f>G23*$C$8</f>
        <v/>
      </c>
      <c r="H25" s="70">
        <f>H23*$C$8</f>
        <v/>
      </c>
      <c r="I25" s="70">
        <f>I23*$C$8</f>
        <v/>
      </c>
      <c r="J25" s="70">
        <f>J23*$C$8</f>
        <v/>
      </c>
      <c r="K25" s="70">
        <f>K23*$C$8</f>
        <v/>
      </c>
      <c r="L25" s="70">
        <f>L23*$C$8</f>
        <v/>
      </c>
      <c r="M25" s="70">
        <f>M23*$C$8</f>
        <v/>
      </c>
      <c r="N25" s="70">
        <f>N23*$C$8</f>
        <v/>
      </c>
      <c r="O25" s="70">
        <f>O23*$C$8</f>
        <v/>
      </c>
      <c r="P25" s="70">
        <f>P23*$C$8</f>
        <v/>
      </c>
      <c r="Q25" s="70">
        <f>Q23*$C$8</f>
        <v/>
      </c>
      <c r="R25" s="70">
        <f>R23*$C$8</f>
        <v/>
      </c>
      <c r="S25" s="70">
        <f>S23*$C$8</f>
        <v/>
      </c>
      <c r="T25" s="70">
        <f>T23*$C$8</f>
        <v/>
      </c>
      <c r="U25" s="70">
        <f>U23*$C$8</f>
        <v/>
      </c>
      <c r="V25" s="70">
        <f>V23*$C$8</f>
        <v/>
      </c>
      <c r="W25" s="70">
        <f>W23*$C$8</f>
        <v/>
      </c>
      <c r="X25" s="70">
        <f>X23*$C$8</f>
        <v/>
      </c>
      <c r="Y25" s="70">
        <f>Y23*$C$8</f>
        <v/>
      </c>
      <c r="Z25" s="70">
        <f>Z23*$C$8</f>
        <v/>
      </c>
      <c r="AA25" s="71">
        <f>SUM(C25:Z25)</f>
        <v/>
      </c>
    </row>
    <row r="26">
      <c r="B26" s="13" t="inlineStr">
        <is>
          <t>COGS (variable cost)</t>
        </is>
      </c>
      <c r="C26" s="68">
        <f>C23*$C$11</f>
        <v/>
      </c>
      <c r="D26" s="68">
        <f>D23*$C$11</f>
        <v/>
      </c>
      <c r="E26" s="68">
        <f>E23*$C$11</f>
        <v/>
      </c>
      <c r="F26" s="68">
        <f>F23*$C$11</f>
        <v/>
      </c>
      <c r="G26" s="68">
        <f>G23*$C$11</f>
        <v/>
      </c>
      <c r="H26" s="68">
        <f>H23*$C$11</f>
        <v/>
      </c>
      <c r="I26" s="68">
        <f>I23*$C$11</f>
        <v/>
      </c>
      <c r="J26" s="68">
        <f>J23*$C$11</f>
        <v/>
      </c>
      <c r="K26" s="68">
        <f>K23*$C$11</f>
        <v/>
      </c>
      <c r="L26" s="68">
        <f>L23*$C$11</f>
        <v/>
      </c>
      <c r="M26" s="68">
        <f>M23*$C$11</f>
        <v/>
      </c>
      <c r="N26" s="68">
        <f>N23*$C$11</f>
        <v/>
      </c>
      <c r="O26" s="68">
        <f>O23*$C$11</f>
        <v/>
      </c>
      <c r="P26" s="68">
        <f>P23*$C$11</f>
        <v/>
      </c>
      <c r="Q26" s="68">
        <f>Q23*$C$11</f>
        <v/>
      </c>
      <c r="R26" s="68">
        <f>R23*$C$11</f>
        <v/>
      </c>
      <c r="S26" s="68">
        <f>S23*$C$11</f>
        <v/>
      </c>
      <c r="T26" s="68">
        <f>T23*$C$11</f>
        <v/>
      </c>
      <c r="U26" s="68">
        <f>U23*$C$11</f>
        <v/>
      </c>
      <c r="V26" s="68">
        <f>V23*$C$11</f>
        <v/>
      </c>
      <c r="W26" s="68">
        <f>W23*$C$11</f>
        <v/>
      </c>
      <c r="X26" s="68">
        <f>X23*$C$11</f>
        <v/>
      </c>
      <c r="Y26" s="68">
        <f>Y23*$C$11</f>
        <v/>
      </c>
      <c r="Z26" s="68">
        <f>Z23*$C$11</f>
        <v/>
      </c>
      <c r="AA26" s="69">
        <f>SUM(C26:Z26)</f>
        <v/>
      </c>
    </row>
    <row r="27">
      <c r="B27" s="17" t="inlineStr">
        <is>
          <t>Gross Profit</t>
        </is>
      </c>
      <c r="C27" s="72">
        <f>C25-C26</f>
        <v/>
      </c>
      <c r="D27" s="72">
        <f>D25-D26</f>
        <v/>
      </c>
      <c r="E27" s="72">
        <f>E25-E26</f>
        <v/>
      </c>
      <c r="F27" s="72">
        <f>F25-F26</f>
        <v/>
      </c>
      <c r="G27" s="72">
        <f>G25-G26</f>
        <v/>
      </c>
      <c r="H27" s="72">
        <f>H25-H26</f>
        <v/>
      </c>
      <c r="I27" s="72">
        <f>I25-I26</f>
        <v/>
      </c>
      <c r="J27" s="72">
        <f>J25-J26</f>
        <v/>
      </c>
      <c r="K27" s="72">
        <f>K25-K26</f>
        <v/>
      </c>
      <c r="L27" s="72">
        <f>L25-L26</f>
        <v/>
      </c>
      <c r="M27" s="72">
        <f>M25-M26</f>
        <v/>
      </c>
      <c r="N27" s="72">
        <f>N25-N26</f>
        <v/>
      </c>
      <c r="O27" s="72">
        <f>O25-O26</f>
        <v/>
      </c>
      <c r="P27" s="72">
        <f>P25-P26</f>
        <v/>
      </c>
      <c r="Q27" s="72">
        <f>Q25-Q26</f>
        <v/>
      </c>
      <c r="R27" s="72">
        <f>R25-R26</f>
        <v/>
      </c>
      <c r="S27" s="72">
        <f>S25-S26</f>
        <v/>
      </c>
      <c r="T27" s="72">
        <f>T25-T26</f>
        <v/>
      </c>
      <c r="U27" s="72">
        <f>U25-U26</f>
        <v/>
      </c>
      <c r="V27" s="72">
        <f>V25-V26</f>
        <v/>
      </c>
      <c r="W27" s="72">
        <f>W25-W26</f>
        <v/>
      </c>
      <c r="X27" s="72">
        <f>X25-X26</f>
        <v/>
      </c>
      <c r="Y27" s="72">
        <f>Y25-Y26</f>
        <v/>
      </c>
      <c r="Z27" s="72">
        <f>Z25-Z26</f>
        <v/>
      </c>
      <c r="AA27" s="69">
        <f>SUM(C27:Z27)</f>
        <v/>
      </c>
    </row>
    <row r="28">
      <c r="B28" s="13" t="inlineStr">
        <is>
          <t>Marketing/Acquisition cost</t>
        </is>
      </c>
      <c r="C28" s="68">
        <f>C22*$C$13</f>
        <v/>
      </c>
      <c r="D28" s="68">
        <f>D22*$C$13</f>
        <v/>
      </c>
      <c r="E28" s="68">
        <f>E22*$C$13</f>
        <v/>
      </c>
      <c r="F28" s="68">
        <f>F22*$C$13</f>
        <v/>
      </c>
      <c r="G28" s="68">
        <f>G22*$C$13</f>
        <v/>
      </c>
      <c r="H28" s="68">
        <f>H22*$C$13</f>
        <v/>
      </c>
      <c r="I28" s="68">
        <f>I22*$C$13</f>
        <v/>
      </c>
      <c r="J28" s="68">
        <f>J22*$C$13</f>
        <v/>
      </c>
      <c r="K28" s="68">
        <f>K22*$C$13</f>
        <v/>
      </c>
      <c r="L28" s="68">
        <f>L22*$C$13</f>
        <v/>
      </c>
      <c r="M28" s="68">
        <f>M22*$C$13</f>
        <v/>
      </c>
      <c r="N28" s="68">
        <f>N22*$C$13</f>
        <v/>
      </c>
      <c r="O28" s="68">
        <f>O22*$C$13</f>
        <v/>
      </c>
      <c r="P28" s="68">
        <f>P22*$C$13</f>
        <v/>
      </c>
      <c r="Q28" s="68">
        <f>Q22*$C$13</f>
        <v/>
      </c>
      <c r="R28" s="68">
        <f>R22*$C$13</f>
        <v/>
      </c>
      <c r="S28" s="68">
        <f>S22*$C$13</f>
        <v/>
      </c>
      <c r="T28" s="68">
        <f>T22*$C$13</f>
        <v/>
      </c>
      <c r="U28" s="68">
        <f>U22*$C$13</f>
        <v/>
      </c>
      <c r="V28" s="68">
        <f>V22*$C$13</f>
        <v/>
      </c>
      <c r="W28" s="68">
        <f>W22*$C$13</f>
        <v/>
      </c>
      <c r="X28" s="68">
        <f>X22*$C$13</f>
        <v/>
      </c>
      <c r="Y28" s="68">
        <f>Y22*$C$13</f>
        <v/>
      </c>
      <c r="Z28" s="68">
        <f>Z22*$C$13</f>
        <v/>
      </c>
      <c r="AA28" s="69">
        <f>SUM(C28:Z28)</f>
        <v/>
      </c>
    </row>
    <row r="29">
      <c r="B29" s="13" t="inlineStr">
        <is>
          <t>Fixed cost (salaries + ops)</t>
        </is>
      </c>
      <c r="C29" s="68">
        <f>$C$14</f>
        <v/>
      </c>
      <c r="D29" s="68">
        <f>$C$14</f>
        <v/>
      </c>
      <c r="E29" s="68">
        <f>$C$14</f>
        <v/>
      </c>
      <c r="F29" s="68">
        <f>$C$14</f>
        <v/>
      </c>
      <c r="G29" s="68">
        <f>$C$14</f>
        <v/>
      </c>
      <c r="H29" s="68">
        <f>$C$14</f>
        <v/>
      </c>
      <c r="I29" s="68">
        <f>$C$14</f>
        <v/>
      </c>
      <c r="J29" s="68">
        <f>$C$14</f>
        <v/>
      </c>
      <c r="K29" s="68">
        <f>$C$14</f>
        <v/>
      </c>
      <c r="L29" s="68">
        <f>$C$14</f>
        <v/>
      </c>
      <c r="M29" s="68">
        <f>$C$14</f>
        <v/>
      </c>
      <c r="N29" s="68">
        <f>$C$14</f>
        <v/>
      </c>
      <c r="O29" s="68">
        <f>$C$14</f>
        <v/>
      </c>
      <c r="P29" s="68">
        <f>$C$14</f>
        <v/>
      </c>
      <c r="Q29" s="68">
        <f>$C$14</f>
        <v/>
      </c>
      <c r="R29" s="68">
        <f>$C$14</f>
        <v/>
      </c>
      <c r="S29" s="68">
        <f>$C$14</f>
        <v/>
      </c>
      <c r="T29" s="68">
        <f>$C$14</f>
        <v/>
      </c>
      <c r="U29" s="68">
        <f>$C$14</f>
        <v/>
      </c>
      <c r="V29" s="68">
        <f>$C$14</f>
        <v/>
      </c>
      <c r="W29" s="68">
        <f>$C$14</f>
        <v/>
      </c>
      <c r="X29" s="68">
        <f>$C$14</f>
        <v/>
      </c>
      <c r="Y29" s="68">
        <f>$C$14</f>
        <v/>
      </c>
      <c r="Z29" s="68">
        <f>$C$14</f>
        <v/>
      </c>
      <c r="AA29" s="69">
        <f>SUM(C29:Z29)</f>
        <v/>
      </c>
    </row>
    <row r="30">
      <c r="B30" s="19" t="inlineStr">
        <is>
          <t>Operating Profit (EBITDA)</t>
        </is>
      </c>
      <c r="C30" s="73">
        <f>C27-C28-C29</f>
        <v/>
      </c>
      <c r="D30" s="73">
        <f>D27-D28-D29</f>
        <v/>
      </c>
      <c r="E30" s="73">
        <f>E27-E28-E29</f>
        <v/>
      </c>
      <c r="F30" s="73">
        <f>F27-F28-F29</f>
        <v/>
      </c>
      <c r="G30" s="73">
        <f>G27-G28-G29</f>
        <v/>
      </c>
      <c r="H30" s="73">
        <f>H27-H28-H29</f>
        <v/>
      </c>
      <c r="I30" s="73">
        <f>I27-I28-I29</f>
        <v/>
      </c>
      <c r="J30" s="73">
        <f>J27-J28-J29</f>
        <v/>
      </c>
      <c r="K30" s="73">
        <f>K27-K28-K29</f>
        <v/>
      </c>
      <c r="L30" s="73">
        <f>L27-L28-L29</f>
        <v/>
      </c>
      <c r="M30" s="73">
        <f>M27-M28-M29</f>
        <v/>
      </c>
      <c r="N30" s="73">
        <f>N27-N28-N29</f>
        <v/>
      </c>
      <c r="O30" s="73">
        <f>O27-O28-O29</f>
        <v/>
      </c>
      <c r="P30" s="73">
        <f>P27-P28-P29</f>
        <v/>
      </c>
      <c r="Q30" s="73">
        <f>Q27-Q28-Q29</f>
        <v/>
      </c>
      <c r="R30" s="73">
        <f>R27-R28-R29</f>
        <v/>
      </c>
      <c r="S30" s="73">
        <f>S27-S28-S29</f>
        <v/>
      </c>
      <c r="T30" s="73">
        <f>T27-T28-T29</f>
        <v/>
      </c>
      <c r="U30" s="73">
        <f>U27-U28-U29</f>
        <v/>
      </c>
      <c r="V30" s="73">
        <f>V27-V28-V29</f>
        <v/>
      </c>
      <c r="W30" s="73">
        <f>W27-W28-W29</f>
        <v/>
      </c>
      <c r="X30" s="73">
        <f>X27-X28-X29</f>
        <v/>
      </c>
      <c r="Y30" s="73">
        <f>Y27-Y28-Y29</f>
        <v/>
      </c>
      <c r="Z30" s="73">
        <f>Z27-Z28-Z29</f>
        <v/>
      </c>
      <c r="AA30" s="74">
        <f>SUM(C30:Z30)</f>
        <v/>
      </c>
    </row>
    <row r="32">
      <c r="B32" s="13" t="inlineStr">
        <is>
          <t>Cash Flow (after investment)</t>
        </is>
      </c>
      <c r="C32" s="68">
        <f>C30-$C$15</f>
        <v/>
      </c>
      <c r="D32" s="68">
        <f>D30</f>
        <v/>
      </c>
      <c r="E32" s="68">
        <f>E30</f>
        <v/>
      </c>
      <c r="F32" s="68">
        <f>F30</f>
        <v/>
      </c>
      <c r="G32" s="68">
        <f>G30</f>
        <v/>
      </c>
      <c r="H32" s="68">
        <f>H30</f>
        <v/>
      </c>
      <c r="I32" s="68">
        <f>I30</f>
        <v/>
      </c>
      <c r="J32" s="68">
        <f>J30</f>
        <v/>
      </c>
      <c r="K32" s="68">
        <f>K30</f>
        <v/>
      </c>
      <c r="L32" s="68">
        <f>L30</f>
        <v/>
      </c>
      <c r="M32" s="68">
        <f>M30</f>
        <v/>
      </c>
      <c r="N32" s="68">
        <f>N30</f>
        <v/>
      </c>
      <c r="O32" s="68">
        <f>O30</f>
        <v/>
      </c>
      <c r="P32" s="68">
        <f>P30</f>
        <v/>
      </c>
      <c r="Q32" s="68">
        <f>Q30</f>
        <v/>
      </c>
      <c r="R32" s="68">
        <f>R30</f>
        <v/>
      </c>
      <c r="S32" s="68">
        <f>S30</f>
        <v/>
      </c>
      <c r="T32" s="68">
        <f>T30</f>
        <v/>
      </c>
      <c r="U32" s="68">
        <f>U30</f>
        <v/>
      </c>
      <c r="V32" s="68">
        <f>V30</f>
        <v/>
      </c>
      <c r="W32" s="68">
        <f>W30</f>
        <v/>
      </c>
      <c r="X32" s="68">
        <f>X30</f>
        <v/>
      </c>
      <c r="Y32" s="68">
        <f>Y30</f>
        <v/>
      </c>
      <c r="Z32" s="68">
        <f>Z30</f>
        <v/>
      </c>
      <c r="AA32" s="69">
        <f>SUM(C32:Z32)</f>
        <v/>
      </c>
    </row>
    <row r="33">
      <c r="B33" s="21" t="inlineStr">
        <is>
          <t>Cash Position (cumulative)</t>
        </is>
      </c>
      <c r="C33" s="75">
        <f>$C$16+C32</f>
        <v/>
      </c>
      <c r="D33" s="75">
        <f>C33+D32</f>
        <v/>
      </c>
      <c r="E33" s="75">
        <f>D33+E32</f>
        <v/>
      </c>
      <c r="F33" s="75">
        <f>E33+F32</f>
        <v/>
      </c>
      <c r="G33" s="75">
        <f>F33+G32</f>
        <v/>
      </c>
      <c r="H33" s="75">
        <f>G33+H32</f>
        <v/>
      </c>
      <c r="I33" s="75">
        <f>H33+I32</f>
        <v/>
      </c>
      <c r="J33" s="75">
        <f>I33+J32</f>
        <v/>
      </c>
      <c r="K33" s="75">
        <f>J33+K32</f>
        <v/>
      </c>
      <c r="L33" s="75">
        <f>K33+L32</f>
        <v/>
      </c>
      <c r="M33" s="75">
        <f>L33+M32</f>
        <v/>
      </c>
      <c r="N33" s="75">
        <f>M33+N32</f>
        <v/>
      </c>
      <c r="O33" s="75">
        <f>N33+O32</f>
        <v/>
      </c>
      <c r="P33" s="75">
        <f>O33+P32</f>
        <v/>
      </c>
      <c r="Q33" s="75">
        <f>P33+Q32</f>
        <v/>
      </c>
      <c r="R33" s="75">
        <f>Q33+R32</f>
        <v/>
      </c>
      <c r="S33" s="75">
        <f>R33+S32</f>
        <v/>
      </c>
      <c r="T33" s="75">
        <f>S33+T32</f>
        <v/>
      </c>
      <c r="U33" s="75">
        <f>T33+U32</f>
        <v/>
      </c>
      <c r="V33" s="75">
        <f>U33+V32</f>
        <v/>
      </c>
      <c r="W33" s="75">
        <f>V33+W32</f>
        <v/>
      </c>
      <c r="X33" s="75">
        <f>W33+X32</f>
        <v/>
      </c>
      <c r="Y33" s="75">
        <f>X33+Y32</f>
        <v/>
      </c>
      <c r="Z33" s="75">
        <f>Y33+Z32</f>
        <v/>
      </c>
    </row>
    <row r="36">
      <c r="B36" s="10" t="inlineStr">
        <is>
          <t>ROI Metrics  /  Chỉ số đánh giá tổng thể dự án</t>
        </is>
      </c>
    </row>
    <row r="37">
      <c r="B37" s="17" t="inlineStr">
        <is>
          <t>NPV (Net Present Value, mil VND)</t>
        </is>
      </c>
      <c r="C37" s="76">
        <f>(NPV($C$17,D32:Z32)+C32)/1000000</f>
        <v/>
      </c>
      <c r="D37" s="5">
        <f>"(target: &gt; 0)"</f>
        <v/>
      </c>
    </row>
    <row r="38">
      <c r="B38" s="17" t="inlineStr">
        <is>
          <t>IRR (Annual)</t>
        </is>
      </c>
      <c r="C38" s="77">
        <f>IFERROR((1+IRR(C32:Z32))^12-1,0)</f>
        <v/>
      </c>
      <c r="D38" s="5">
        <f>"(target: &gt; "&amp;TEXT(CHOOSE($C$6,'1. Assumptions'!C35,'1. Assumptions'!D35,'1. Assumptions'!E35),"0.0%")&amp;")"</f>
        <v/>
      </c>
    </row>
    <row r="39">
      <c r="B39" s="17" t="inlineStr">
        <is>
          <t>Project Payback (months)</t>
        </is>
      </c>
      <c r="C39" s="25">
        <f>IFERROR(MATCH(TRUE(),INDEX(C41:Z41&gt;=0,0),0),"&gt; 24")</f>
        <v/>
      </c>
      <c r="D39" s="5">
        <f>"(target: &lt; 24)"</f>
        <v/>
      </c>
    </row>
    <row r="40">
      <c r="B40" s="17" t="inlineStr">
        <is>
          <t>Runway (months until cash = 0)</t>
        </is>
      </c>
      <c r="C40" s="25">
        <f>IFERROR(MATCH(TRUE(),INDEX(C33:Z33&lt;0,0),0)-1,"&gt;= 24")</f>
        <v/>
      </c>
      <c r="D40" s="5">
        <f>"(target: &gt;= 12)"</f>
        <v/>
      </c>
    </row>
    <row r="41">
      <c r="B41" s="26" t="inlineStr">
        <is>
          <t>(helper: cumulative cash flow)</t>
        </is>
      </c>
      <c r="C41" s="78">
        <f>C32</f>
        <v/>
      </c>
      <c r="D41" s="78">
        <f>C41+D32</f>
        <v/>
      </c>
      <c r="E41" s="78">
        <f>D41+E32</f>
        <v/>
      </c>
      <c r="F41" s="78">
        <f>E41+F32</f>
        <v/>
      </c>
      <c r="G41" s="78">
        <f>F41+G32</f>
        <v/>
      </c>
      <c r="H41" s="78">
        <f>G41+H32</f>
        <v/>
      </c>
      <c r="I41" s="78">
        <f>H41+I32</f>
        <v/>
      </c>
      <c r="J41" s="78">
        <f>I41+J32</f>
        <v/>
      </c>
      <c r="K41" s="78">
        <f>J41+K32</f>
        <v/>
      </c>
      <c r="L41" s="78">
        <f>K41+L32</f>
        <v/>
      </c>
      <c r="M41" s="78">
        <f>L41+M32</f>
        <v/>
      </c>
      <c r="N41" s="78">
        <f>M41+N32</f>
        <v/>
      </c>
      <c r="O41" s="78">
        <f>N41+O32</f>
        <v/>
      </c>
      <c r="P41" s="78">
        <f>O41+P32</f>
        <v/>
      </c>
      <c r="Q41" s="78">
        <f>P41+Q32</f>
        <v/>
      </c>
      <c r="R41" s="78">
        <f>Q41+R32</f>
        <v/>
      </c>
      <c r="S41" s="78">
        <f>R41+S32</f>
        <v/>
      </c>
      <c r="T41" s="78">
        <f>S41+T32</f>
        <v/>
      </c>
      <c r="U41" s="78">
        <f>T41+U32</f>
        <v/>
      </c>
      <c r="V41" s="78">
        <f>U41+V32</f>
        <v/>
      </c>
      <c r="W41" s="78">
        <f>V41+W32</f>
        <v/>
      </c>
      <c r="X41" s="78">
        <f>W41+X32</f>
        <v/>
      </c>
      <c r="Y41" s="78">
        <f>X41+Y32</f>
        <v/>
      </c>
      <c r="Z41" s="78">
        <f>Y41+Z32</f>
        <v/>
      </c>
    </row>
    <row r="43">
      <c r="B43" s="10" t="inlineStr">
        <is>
          <t>Final Verdict  /  Có nên làm dự án này?</t>
        </is>
      </c>
    </row>
    <row r="44" ht="17.6" customHeight="1">
      <c r="B44" s="17" t="inlineStr">
        <is>
          <t>Project Decision</t>
        </is>
      </c>
      <c r="C44" s="28">
        <f>IF(AND(C37&gt;0,C38&gt;CHOOSE($C$6,'1. Assumptions'!C35,'1. Assumptions'!D35,'1. Assumptions'!E35)),"✓ GO — NPV+ và IRR &gt; WACC",IF(C37&lt;0,"✗ NO-GO — NPV âm: dự án không tạo giá trị","⚠ HOLD — IRR thấp hơn kỳ vọng, cần điều chỉnh"))</f>
        <v/>
      </c>
    </row>
  </sheetData>
  <mergeCells count="6">
    <mergeCell ref="D4:H4"/>
    <mergeCell ref="B36:J36"/>
    <mergeCell ref="B2:H2"/>
    <mergeCell ref="C44:J44"/>
    <mergeCell ref="B43:J43"/>
    <mergeCell ref="B20:AA20"/>
  </mergeCells>
  <conditionalFormatting sqref="C33">
    <cfRule type="cellIs" priority="2" operator="lessThan" dxfId="3">
      <formula>0</formula>
    </cfRule>
  </conditionalFormatting>
  <conditionalFormatting sqref="D33">
    <cfRule type="cellIs" priority="3" operator="lessThan" dxfId="3">
      <formula>0</formula>
    </cfRule>
  </conditionalFormatting>
  <conditionalFormatting sqref="E33">
    <cfRule type="cellIs" priority="4" operator="lessThan" dxfId="3">
      <formula>0</formula>
    </cfRule>
  </conditionalFormatting>
  <conditionalFormatting sqref="F33">
    <cfRule type="cellIs" priority="5" operator="lessThan" dxfId="3">
      <formula>0</formula>
    </cfRule>
  </conditionalFormatting>
  <conditionalFormatting sqref="G33">
    <cfRule type="cellIs" priority="6" operator="lessThan" dxfId="3">
      <formula>0</formula>
    </cfRule>
  </conditionalFormatting>
  <conditionalFormatting sqref="H33">
    <cfRule type="cellIs" priority="7" operator="lessThan" dxfId="3">
      <formula>0</formula>
    </cfRule>
  </conditionalFormatting>
  <conditionalFormatting sqref="I33">
    <cfRule type="cellIs" priority="8" operator="lessThan" dxfId="3">
      <formula>0</formula>
    </cfRule>
  </conditionalFormatting>
  <conditionalFormatting sqref="J33">
    <cfRule type="cellIs" priority="9" operator="lessThan" dxfId="3">
      <formula>0</formula>
    </cfRule>
  </conditionalFormatting>
  <conditionalFormatting sqref="K33">
    <cfRule type="cellIs" priority="10" operator="lessThan" dxfId="3">
      <formula>0</formula>
    </cfRule>
  </conditionalFormatting>
  <conditionalFormatting sqref="L33">
    <cfRule type="cellIs" priority="11" operator="lessThan" dxfId="3">
      <formula>0</formula>
    </cfRule>
  </conditionalFormatting>
  <conditionalFormatting sqref="M33">
    <cfRule type="cellIs" priority="12" operator="lessThan" dxfId="3">
      <formula>0</formula>
    </cfRule>
  </conditionalFormatting>
  <conditionalFormatting sqref="N33">
    <cfRule type="cellIs" priority="13" operator="lessThan" dxfId="3">
      <formula>0</formula>
    </cfRule>
  </conditionalFormatting>
  <conditionalFormatting sqref="O33">
    <cfRule type="cellIs" priority="14" operator="lessThan" dxfId="3">
      <formula>0</formula>
    </cfRule>
  </conditionalFormatting>
  <conditionalFormatting sqref="P33">
    <cfRule type="cellIs" priority="15" operator="lessThan" dxfId="3">
      <formula>0</formula>
    </cfRule>
  </conditionalFormatting>
  <conditionalFormatting sqref="Q33">
    <cfRule type="cellIs" priority="16" operator="lessThan" dxfId="3">
      <formula>0</formula>
    </cfRule>
  </conditionalFormatting>
  <conditionalFormatting sqref="R33">
    <cfRule type="cellIs" priority="17" operator="lessThan" dxfId="3">
      <formula>0</formula>
    </cfRule>
  </conditionalFormatting>
  <conditionalFormatting sqref="S33">
    <cfRule type="cellIs" priority="18" operator="lessThan" dxfId="3">
      <formula>0</formula>
    </cfRule>
  </conditionalFormatting>
  <conditionalFormatting sqref="T33">
    <cfRule type="cellIs" priority="19" operator="lessThan" dxfId="3">
      <formula>0</formula>
    </cfRule>
  </conditionalFormatting>
  <conditionalFormatting sqref="U33">
    <cfRule type="cellIs" priority="20" operator="lessThan" dxfId="3">
      <formula>0</formula>
    </cfRule>
  </conditionalFormatting>
  <conditionalFormatting sqref="V33">
    <cfRule type="cellIs" priority="21" operator="lessThan" dxfId="3">
      <formula>0</formula>
    </cfRule>
  </conditionalFormatting>
  <conditionalFormatting sqref="W33">
    <cfRule type="cellIs" priority="22" operator="lessThan" dxfId="3">
      <formula>0</formula>
    </cfRule>
  </conditionalFormatting>
  <conditionalFormatting sqref="X33">
    <cfRule type="cellIs" priority="23" operator="lessThan" dxfId="3">
      <formula>0</formula>
    </cfRule>
  </conditionalFormatting>
  <conditionalFormatting sqref="Y33">
    <cfRule type="cellIs" priority="24" operator="lessThan" dxfId="3">
      <formula>0</formula>
    </cfRule>
  </conditionalFormatting>
  <conditionalFormatting sqref="Z33">
    <cfRule type="cellIs" priority="25" operator="lessThan" dxfId="3">
      <formula>0</formula>
    </cfRule>
  </conditionalFormatting>
  <conditionalFormatting sqref="C37">
    <cfRule type="cellIs" priority="26" operator="greaterThan" dxfId="4">
      <formula>0</formula>
    </cfRule>
    <cfRule type="cellIs" priority="27" operator="lessThanOrEqual" dxfId="5">
      <formula>0</formula>
    </cfRule>
  </conditionalFormatting>
  <conditionalFormatting sqref="C38">
    <cfRule type="expression" priority="28" dxfId="4">
      <formula>C38&gt;CHOOSE($C$6,'1. Assumptions'!C35,'1. Assumptions'!D35,'1. Assumptions'!E35)</formula>
    </cfRule>
    <cfRule type="expression" priority="29" dxfId="5">
      <formula>C38&lt;=CHOOSE($C$6,'1. Assumptions'!C35,'1. Assumptions'!D35,'1. Assumptions'!E35)</formula>
    </cfRule>
  </conditionalFormatting>
  <conditionalFormatting sqref="C40">
    <cfRule type="expression" priority="30" dxfId="5">
      <formula>AND(ISNUMBER(C40),C40&lt;12)</formula>
    </cfRule>
  </conditionalFormatting>
  <dataValidations count="1">
    <dataValidation sqref="C4" showDropDown="0" showInputMessage="0" showErrorMessage="0" allowBlank="0" type="list">
      <formula1>"Optimistic,Base,Pessimistic"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2026-05-03T22:07:00Z</dcterms:created>
  <dcterms:modified xmlns:dcterms="http://purl.org/dc/terms/" xmlns:xsi="http://www.w3.org/2001/XMLSchema-instance" xsi:type="dcterms:W3CDTF">2026-08-26T15:12:35Z</dcterms:modified>
  <cp:lastModifiedBy>Quyền Đàm Bá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9F7AB3F7979B97FA0967F869EA163140_42</vt:lpwstr>
  </property>
  <property name="KSOProductBuildVer" fmtid="{D5CDD505-2E9C-101B-9397-08002B2CF9AE}" pid="3">
    <vt:lpwstr xmlns:vt="http://schemas.openxmlformats.org/officeDocument/2006/docPropsVTypes">1033-12.1.23135.23135</vt:lpwstr>
  </property>
</Properties>
</file>